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Configurações" sheetId="2" state="visible" r:id="rId4"/>
    <sheet name="Apoio" sheetId="3" state="visible" r:id="rId5"/>
  </sheets>
  <definedNames>
    <definedName function="false" hidden="false" name="anos" vbProcedure="false">Simulador!$C$6</definedName>
    <definedName function="false" hidden="false" name="aporte" vbProcedure="false">Simulador!$C$5</definedName>
    <definedName function="false" hidden="false" name="aporte_sugerido" vbProcedure="false">Configurações!$B$6</definedName>
    <definedName function="false" hidden="false" name="patrimonio" vbProcedure="false">Simulador!$C$10</definedName>
    <definedName function="false" hidden="false" name="perfil" vbProcedure="false">Simulador!$C$23</definedName>
    <definedName function="false" hidden="false" name="salario" vbProcedure="false">Configurações!$B$3</definedName>
    <definedName function="false" hidden="false" name="taxa_mensal" vbProcedure="false">Configurações!$B$4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<sst xmlns="http://schemas.openxmlformats.org/spreadsheetml/2006/main" count="90" uniqueCount="48">
  <si>
    <t xml:space="preserve">SIMULADOR DE INVESTIMENTOS EM FUNDOS IMOBILIÁRIOS</t>
  </si>
  <si>
    <t xml:space="preserve">1. SEUS DADOS</t>
  </si>
  <si>
    <t xml:space="preserve">Quanto investir por mês</t>
  </si>
  <si>
    <t xml:space="preserve">Sugestão (30% do salário):</t>
  </si>
  <si>
    <t xml:space="preserve">Por quantos anos</t>
  </si>
  <si>
    <t xml:space="preserve">Taxa de rendimento mensal</t>
  </si>
  <si>
    <t xml:space="preserve">(altere em Configurações)</t>
  </si>
  <si>
    <t xml:space="preserve">2. RESULTADOS</t>
  </si>
  <si>
    <t xml:space="preserve">Patrimônio acumulado</t>
  </si>
  <si>
    <t xml:space="preserve">Total investido (do seu bolso)</t>
  </si>
  <si>
    <t xml:space="preserve">Dividendos por mês</t>
  </si>
  <si>
    <t xml:space="preserve">3. CENÁRIOS DE 2 A 30 ANOS (mesmo aporte e taxa)</t>
  </si>
  <si>
    <t xml:space="preserve">Anos</t>
  </si>
  <si>
    <t xml:space="preserve">Total investido</t>
  </si>
  <si>
    <t xml:space="preserve">Patrimônio</t>
  </si>
  <si>
    <t xml:space="preserve">Dividendos/mês</t>
  </si>
  <si>
    <t xml:space="preserve">4. DIVISÃO DO APORTE POR PERFIL</t>
  </si>
  <si>
    <t xml:space="preserve">Perfil de investidor</t>
  </si>
  <si>
    <t xml:space="preserve">Moderado</t>
  </si>
  <si>
    <t xml:space="preserve">Tipo de fundo</t>
  </si>
  <si>
    <t xml:space="preserve">% do aporte</t>
  </si>
  <si>
    <t xml:space="preserve">Valor por mês</t>
  </si>
  <si>
    <t xml:space="preserve">Papel (CRI)</t>
  </si>
  <si>
    <t xml:space="preserve">Logística</t>
  </si>
  <si>
    <t xml:space="preserve">Shoppings</t>
  </si>
  <si>
    <t xml:space="preserve">Lajes corporativas</t>
  </si>
  <si>
    <t xml:space="preserve">Fundo de fundos</t>
  </si>
  <si>
    <t xml:space="preserve">Desenvolvimento</t>
  </si>
  <si>
    <t xml:space="preserve">Total</t>
  </si>
  <si>
    <t xml:space="preserve">Legenda: amarelo = editar (aporte, anos, perfil); cinza = calculado, não edite. Taxa, salário e sugestão ficam em Configurações. Percentuais por perfil são exemplo, não recomendação de investimento.</t>
  </si>
  <si>
    <t xml:space="preserve">CONFIGURAÇÕES</t>
  </si>
  <si>
    <t xml:space="preserve">Salário mensal</t>
  </si>
  <si>
    <t xml:space="preserve">Exemplo: substitua pelo seu salário.</t>
  </si>
  <si>
    <t xml:space="preserve">Rendimento mensal da carteira (taxa_mensal)</t>
  </si>
  <si>
    <t xml:space="preserve">Exemplo de 0,80% ao mês; substitua pela taxa que você espera.</t>
  </si>
  <si>
    <t xml:space="preserve">% do salário sugerido para investir</t>
  </si>
  <si>
    <t xml:space="preserve">Sugestão de 30% do salário.</t>
  </si>
  <si>
    <t xml:space="preserve">Aporte sugerido (aporte_sugerido)</t>
  </si>
  <si>
    <t xml:space="preserve">Calculado: salário × percentual sugerido.</t>
  </si>
  <si>
    <t xml:space="preserve">Legenda: células amarelas (letra azul) são para editar; cinzas são calculadas.</t>
  </si>
  <si>
    <t xml:space="preserve">Chave (perfil|tipo)</t>
  </si>
  <si>
    <t xml:space="preserve">Perfil</t>
  </si>
  <si>
    <t xml:space="preserve">Percentual</t>
  </si>
  <si>
    <t xml:space="preserve">Soma</t>
  </si>
  <si>
    <t xml:space="preserve">Conservador</t>
  </si>
  <si>
    <t xml:space="preserve">Arrojado</t>
  </si>
  <si>
    <t xml:space="preserve">Lista de perfis</t>
  </si>
  <si>
    <t xml:space="preserve">Percentuais são apenas um exemplo, não recomendação de investimento. Edite a coluna D (azul); cada perfil deve somar 100%.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</si>
</sst>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&quot; anos&quot;"/>
    <numFmt numFmtId="167" formatCode="0.00%"/>
    <numFmt numFmtId="168" formatCode="@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Simulador!C25</c:f>
              <c:strCache>
                <c:ptCount val="1"/>
                <c:pt idx="0">
                  <c:v>% do aporte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Simulador!$B$26:$B$31</c:f>
              <c:strCache>
                <c:ptCount val="6"/>
                <c:pt idx="0">
                  <c:v>Papel (CRI)</c:v>
                </c:pt>
                <c:pt idx="1">
                  <c:v>Logística</c:v>
                </c:pt>
                <c:pt idx="2">
                  <c:v>Shoppings</c:v>
                </c:pt>
                <c:pt idx="3">
                  <c:v>Lajes corporativas</c:v>
                </c:pt>
                <c:pt idx="4">
                  <c:v>Fundo de fundos</c:v>
                </c:pt>
                <c:pt idx="5">
                  <c:v>Desenvolvimento</c:v>
                </c:pt>
              </c:strCache>
            </c:strRef>
          </c:cat>
          <c:val>
            <c:numRef>
              <c:f>Simulador!$C$26:$C$31</c:f>
              <c:numCache>
                <c:formatCode>0%</c:formatCode>
                <c:ptCount val="6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0.1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21</xdr:row>
      <xdr:rowOff>0</xdr:rowOff>
    </xdr:from>
    <xdr:to>
      <xdr:col>13</xdr:col>
      <xdr:colOff>38880</xdr:colOff>
      <xdr:row>36</xdr:row>
      <xdr:rowOff>22320</xdr:rowOff>
    </xdr:to>
    <xdr:graphicFrame>
      <xdr:nvGraphicFramePr>
        <xdr:cNvPr id="0" name="Chart 1"/>
        <xdr:cNvGraphicFramePr/>
      </xdr:nvGraphicFramePr>
      <xdr:xfrm>
        <a:off x="7400880" y="4000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15" hidden="false" customHeight="false" outlineLevel="0" collapsed="false">
      <c r="B1" s="1" t="s">
        <v>0</v>
      </c>
      <c r="C1" s="1"/>
      <c r="D1" s="1"/>
      <c r="E1" s="1"/>
    </row>
    <row r="2" customFormat="false" ht="15" hidden="false" customHeight="false" outlineLevel="0" collapsed="false">
      <c r="B2" s="1"/>
      <c r="C2" s="1"/>
      <c r="D2" s="1"/>
      <c r="E2" s="1"/>
    </row>
    <row r="4" customFormat="false" ht="15" hidden="false" customHeight="false" outlineLevel="0" collapsed="false">
      <c r="B4" s="2" t="s">
        <v>1</v>
      </c>
      <c r="C4" s="2"/>
      <c r="D4" s="2"/>
      <c r="E4" s="2"/>
    </row>
    <row r="5" customFormat="false" ht="15" hidden="false" customHeight="false" outlineLevel="0" collapsed="false">
      <c r="B5" s="3" t="s">
        <v>2</v>
      </c>
      <c r="C5" s="4" t="n">
        <v>1000</v>
      </c>
      <c r="D5" s="5" t="s">
        <v>3</v>
      </c>
      <c r="E5" s="6" t="n">
        <f aca="false">aporte_sugerido</f>
        <v>1500</v>
      </c>
    </row>
    <row r="6" customFormat="false" ht="15" hidden="false" customHeight="false" outlineLevel="0" collapsed="false">
      <c r="B6" s="3" t="s">
        <v>4</v>
      </c>
      <c r="C6" s="7" t="n">
        <v>20</v>
      </c>
    </row>
    <row r="7" customFormat="false" ht="15" hidden="false" customHeight="false" outlineLevel="0" collapsed="false">
      <c r="B7" s="3" t="s">
        <v>5</v>
      </c>
      <c r="C7" s="8" t="n">
        <f aca="false">taxa_mensal</f>
        <v>0.008</v>
      </c>
      <c r="D7" s="9" t="s">
        <v>6</v>
      </c>
    </row>
    <row r="9" customFormat="false" ht="15" hidden="false" customHeight="false" outlineLevel="0" collapsed="false">
      <c r="B9" s="2" t="s">
        <v>7</v>
      </c>
      <c r="C9" s="2"/>
      <c r="D9" s="2"/>
      <c r="E9" s="2"/>
    </row>
    <row r="10" customFormat="false" ht="15" hidden="false" customHeight="false" outlineLevel="0" collapsed="false">
      <c r="B10" s="3" t="s">
        <v>8</v>
      </c>
      <c r="C10" s="6" t="n">
        <f aca="false">FV(taxa_mensal,anos*12,-aporte)</f>
        <v>721131.219275121</v>
      </c>
    </row>
    <row r="11" customFormat="false" ht="15" hidden="false" customHeight="false" outlineLevel="0" collapsed="false">
      <c r="B11" s="3" t="s">
        <v>9</v>
      </c>
      <c r="C11" s="6" t="n">
        <f aca="false">aporte*anos*12</f>
        <v>240000</v>
      </c>
    </row>
    <row r="12" customFormat="false" ht="15" hidden="false" customHeight="false" outlineLevel="0" collapsed="false">
      <c r="B12" s="3" t="s">
        <v>10</v>
      </c>
      <c r="C12" s="6" t="n">
        <f aca="false">patrimonio*taxa_mensal</f>
        <v>5769.04975420097</v>
      </c>
    </row>
    <row r="14" customFormat="false" ht="15" hidden="false" customHeight="false" outlineLevel="0" collapsed="false">
      <c r="B14" s="2" t="s">
        <v>11</v>
      </c>
      <c r="C14" s="2"/>
      <c r="D14" s="2"/>
      <c r="E14" s="2"/>
    </row>
    <row r="15" customFormat="false" ht="15" hidden="false" customHeight="false" outlineLevel="0" collapsed="false">
      <c r="B15" s="10" t="s">
        <v>12</v>
      </c>
      <c r="C15" s="10" t="s">
        <v>13</v>
      </c>
      <c r="D15" s="10" t="s">
        <v>14</v>
      </c>
      <c r="E15" s="10" t="s">
        <v>15</v>
      </c>
    </row>
    <row r="16" customFormat="false" ht="15" hidden="false" customHeight="false" outlineLevel="0" collapsed="false">
      <c r="B16" s="11" t="n">
        <v>2</v>
      </c>
      <c r="C16" s="12" t="n">
        <f aca="false">aporte*$B16*12</f>
        <v>24000</v>
      </c>
      <c r="D16" s="12" t="n">
        <f aca="false">FV(taxa_mensal,$B16*12,-aporte)</f>
        <v>26343.1551111194</v>
      </c>
      <c r="E16" s="12" t="n">
        <f aca="false">D16*taxa_mensal</f>
        <v>210.745240888955</v>
      </c>
    </row>
    <row r="17" customFormat="false" ht="15" hidden="false" customHeight="false" outlineLevel="0" collapsed="false">
      <c r="B17" s="11" t="n">
        <v>5</v>
      </c>
      <c r="C17" s="12" t="n">
        <f aca="false">aporte*$B17*12</f>
        <v>60000</v>
      </c>
      <c r="D17" s="12" t="n">
        <f aca="false">FV(taxa_mensal,$B17*12,-aporte)</f>
        <v>76623.8668318798</v>
      </c>
      <c r="E17" s="12" t="n">
        <f aca="false">D17*taxa_mensal</f>
        <v>612.990934655038</v>
      </c>
    </row>
    <row r="18" customFormat="false" ht="15" hidden="false" customHeight="false" outlineLevel="0" collapsed="false">
      <c r="B18" s="11" t="n">
        <v>10</v>
      </c>
      <c r="C18" s="12" t="n">
        <f aca="false">aporte*$B18*12</f>
        <v>120000</v>
      </c>
      <c r="D18" s="12" t="n">
        <f aca="false">FV(taxa_mensal,$B18*12,-aporte)</f>
        <v>200217.469409917</v>
      </c>
      <c r="E18" s="12" t="n">
        <f aca="false">D18*taxa_mensal</f>
        <v>1601.73975527933</v>
      </c>
    </row>
    <row r="19" customFormat="false" ht="15" hidden="false" customHeight="false" outlineLevel="0" collapsed="false">
      <c r="B19" s="11" t="n">
        <v>20</v>
      </c>
      <c r="C19" s="12" t="n">
        <f aca="false">aporte*$B19*12</f>
        <v>240000</v>
      </c>
      <c r="D19" s="12" t="n">
        <f aca="false">FV(taxa_mensal,$B19*12,-aporte)</f>
        <v>721131.219275121</v>
      </c>
      <c r="E19" s="12" t="n">
        <f aca="false">D19*taxa_mensal</f>
        <v>5769.04975420097</v>
      </c>
    </row>
    <row r="20" customFormat="false" ht="15" hidden="false" customHeight="false" outlineLevel="0" collapsed="false">
      <c r="B20" s="11" t="n">
        <v>30</v>
      </c>
      <c r="C20" s="12" t="n">
        <f aca="false">aporte*$B20*12</f>
        <v>360000</v>
      </c>
      <c r="D20" s="12" t="n">
        <f aca="false">FV(taxa_mensal,$B20*12,-aporte)</f>
        <v>2076413.23137106</v>
      </c>
      <c r="E20" s="12" t="n">
        <f aca="false">D20*taxa_mensal</f>
        <v>16611.3058509685</v>
      </c>
    </row>
    <row r="22" customFormat="false" ht="15" hidden="false" customHeight="false" outlineLevel="0" collapsed="false">
      <c r="B22" s="2" t="s">
        <v>16</v>
      </c>
      <c r="C22" s="2"/>
      <c r="D22" s="2"/>
      <c r="E22" s="2"/>
    </row>
    <row r="23" customFormat="false" ht="15" hidden="false" customHeight="false" outlineLevel="0" collapsed="false">
      <c r="B23" s="3" t="s">
        <v>17</v>
      </c>
      <c r="C23" s="13" t="s">
        <v>18</v>
      </c>
    </row>
    <row r="25" customFormat="false" ht="15" hidden="false" customHeight="false" outlineLevel="0" collapsed="false">
      <c r="B25" s="10" t="s">
        <v>19</v>
      </c>
      <c r="C25" s="10" t="s">
        <v>20</v>
      </c>
      <c r="D25" s="10" t="s">
        <v>21</v>
      </c>
    </row>
    <row r="26" customFormat="false" ht="15" hidden="false" customHeight="false" outlineLevel="0" collapsed="false">
      <c r="B26" s="14" t="s">
        <v>22</v>
      </c>
      <c r="C26" s="15" t="n">
        <f aca="false">VLOOKUP(perfil&amp;"|"&amp;$B26,Apoio!$A$2:$D$19,4,FALSE())</f>
        <v>0.25</v>
      </c>
      <c r="D26" s="12" t="n">
        <f aca="false">aporte*C26</f>
        <v>250</v>
      </c>
    </row>
    <row r="27" customFormat="false" ht="15" hidden="false" customHeight="false" outlineLevel="0" collapsed="false">
      <c r="B27" s="14" t="s">
        <v>23</v>
      </c>
      <c r="C27" s="15" t="n">
        <f aca="false">VLOOKUP(perfil&amp;"|"&amp;$B27,Apoio!$A$2:$D$19,4,FALSE())</f>
        <v>0.2</v>
      </c>
      <c r="D27" s="12" t="n">
        <f aca="false">aporte*C27</f>
        <v>200</v>
      </c>
    </row>
    <row r="28" customFormat="false" ht="15" hidden="false" customHeight="false" outlineLevel="0" collapsed="false">
      <c r="B28" s="14" t="s">
        <v>24</v>
      </c>
      <c r="C28" s="15" t="n">
        <f aca="false">VLOOKUP(perfil&amp;"|"&amp;$B28,Apoio!$A$2:$D$19,4,FALSE())</f>
        <v>0.2</v>
      </c>
      <c r="D28" s="12" t="n">
        <f aca="false">aporte*C28</f>
        <v>200</v>
      </c>
    </row>
    <row r="29" customFormat="false" ht="15" hidden="false" customHeight="false" outlineLevel="0" collapsed="false">
      <c r="B29" s="14" t="s">
        <v>25</v>
      </c>
      <c r="C29" s="15" t="n">
        <f aca="false">VLOOKUP(perfil&amp;"|"&amp;$B29,Apoio!$A$2:$D$19,4,FALSE())</f>
        <v>0.1</v>
      </c>
      <c r="D29" s="12" t="n">
        <f aca="false">aporte*C29</f>
        <v>100</v>
      </c>
    </row>
    <row r="30" customFormat="false" ht="15" hidden="false" customHeight="false" outlineLevel="0" collapsed="false">
      <c r="B30" s="14" t="s">
        <v>26</v>
      </c>
      <c r="C30" s="15" t="n">
        <f aca="false">VLOOKUP(perfil&amp;"|"&amp;$B30,Apoio!$A$2:$D$19,4,FALSE())</f>
        <v>0.15</v>
      </c>
      <c r="D30" s="12" t="n">
        <f aca="false">aporte*C30</f>
        <v>150</v>
      </c>
    </row>
    <row r="31" customFormat="false" ht="15" hidden="false" customHeight="false" outlineLevel="0" collapsed="false">
      <c r="B31" s="14" t="s">
        <v>27</v>
      </c>
      <c r="C31" s="15" t="n">
        <f aca="false">VLOOKUP(perfil&amp;"|"&amp;$B31,Apoio!$A$2:$D$19,4,FALSE())</f>
        <v>0.1</v>
      </c>
      <c r="D31" s="12" t="n">
        <f aca="false">aporte*C31</f>
        <v>100</v>
      </c>
    </row>
    <row r="32" customFormat="false" ht="15" hidden="false" customHeight="false" outlineLevel="0" collapsed="false">
      <c r="B32" s="16" t="s">
        <v>28</v>
      </c>
      <c r="C32" s="17" t="n">
        <f aca="false">SUM(C26:C31)</f>
        <v>1</v>
      </c>
      <c r="D32" s="18" t="n">
        <f aca="false">SUM(D26:D31)</f>
        <v>1000</v>
      </c>
    </row>
    <row r="34" customFormat="false" ht="15" hidden="false" customHeight="true" outlineLevel="0" collapsed="false">
      <c r="B34" s="19" t="s">
        <v>29</v>
      </c>
      <c r="C34" s="19"/>
      <c r="D34" s="19"/>
      <c r="E34" s="19"/>
    </row>
    <row r="35" customFormat="false" ht="15" hidden="false" customHeight="false" outlineLevel="0" collapsed="false">
      <c r="B35" s="19"/>
      <c r="C35" s="19"/>
      <c r="D35" s="19"/>
      <c r="E35" s="19"/>
    </row>
    <row r="36" customFormat="false" ht="15" hidden="false" customHeight="false" outlineLevel="0" collapsed="false">
      <c r="B36" s="19"/>
      <c r="C36" s="19"/>
      <c r="D36" s="19"/>
      <c r="E36" s="19"/>
    </row>
  </sheetData>
  <mergeCells count="6">
    <mergeCell ref="B1:E2"/>
    <mergeCell ref="B4:E4"/>
    <mergeCell ref="B9:E9"/>
    <mergeCell ref="B14:E14"/>
    <mergeCell ref="B22:E22"/>
    <mergeCell ref="B34:E36"/>
  </mergeCells>
  <dataValidations count="1">
    <dataValidation allowBlank="false" error="Escolha um perfil da lista." errorStyle="stop" errorTitle="Perfil inválido" operator="between" showDropDown="false" showErrorMessage="true" showInputMessage="false" sqref="C23" type="list">
      <formula1>Apoio!$F$7:$F$9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20" t="s">
        <v>30</v>
      </c>
      <c r="B1" s="20"/>
      <c r="C1" s="20"/>
    </row>
    <row r="3" customFormat="false" ht="15" hidden="false" customHeight="false" outlineLevel="0" collapsed="false">
      <c r="A3" s="3" t="s">
        <v>31</v>
      </c>
      <c r="B3" s="21" t="n">
        <v>5000</v>
      </c>
      <c r="C3" s="22" t="s">
        <v>32</v>
      </c>
    </row>
    <row r="4" customFormat="false" ht="15" hidden="false" customHeight="false" outlineLevel="0" collapsed="false">
      <c r="A4" s="3" t="s">
        <v>33</v>
      </c>
      <c r="B4" s="23" t="n">
        <v>0.008</v>
      </c>
      <c r="C4" s="22" t="s">
        <v>34</v>
      </c>
    </row>
    <row r="5" customFormat="false" ht="15" hidden="false" customHeight="false" outlineLevel="0" collapsed="false">
      <c r="A5" s="3" t="s">
        <v>35</v>
      </c>
      <c r="B5" s="24" t="n">
        <v>0.3</v>
      </c>
      <c r="C5" s="22" t="s">
        <v>36</v>
      </c>
    </row>
    <row r="6" customFormat="false" ht="15" hidden="false" customHeight="false" outlineLevel="0" collapsed="false">
      <c r="A6" s="3" t="s">
        <v>37</v>
      </c>
      <c r="B6" s="12" t="n">
        <f aca="false">B3*B5</f>
        <v>1500</v>
      </c>
      <c r="C6" s="22" t="s">
        <v>38</v>
      </c>
    </row>
    <row r="8" customFormat="false" ht="15" hidden="false" customHeight="false" outlineLevel="0" collapsed="false">
      <c r="A8" s="25" t="s">
        <v>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6" t="s">
        <v>40</v>
      </c>
      <c r="B1" s="26" t="s">
        <v>41</v>
      </c>
      <c r="C1" s="26" t="s">
        <v>19</v>
      </c>
      <c r="D1" s="26" t="s">
        <v>42</v>
      </c>
      <c r="F1" s="26" t="s">
        <v>41</v>
      </c>
      <c r="G1" s="26" t="s">
        <v>43</v>
      </c>
    </row>
    <row r="2" customFormat="false" ht="15" hidden="false" customHeight="false" outlineLevel="0" collapsed="false">
      <c r="A2" s="14" t="str">
        <f aca="false">B2&amp;"|"&amp;C2</f>
        <v>Conservador|Papel (CRI)</v>
      </c>
      <c r="B2" s="14" t="s">
        <v>44</v>
      </c>
      <c r="C2" s="14" t="s">
        <v>22</v>
      </c>
      <c r="D2" s="27" t="n">
        <v>0.4</v>
      </c>
      <c r="F2" s="14" t="s">
        <v>44</v>
      </c>
      <c r="G2" s="28" t="n">
        <f aca="false">SUMIF($B$2:$B$19,F2,$D$2:$D$19)</f>
        <v>1</v>
      </c>
    </row>
    <row r="3" customFormat="false" ht="15" hidden="false" customHeight="false" outlineLevel="0" collapsed="false">
      <c r="A3" s="14" t="str">
        <f aca="false">B3&amp;"|"&amp;C3</f>
        <v>Conservador|Logística</v>
      </c>
      <c r="B3" s="14" t="s">
        <v>44</v>
      </c>
      <c r="C3" s="14" t="s">
        <v>23</v>
      </c>
      <c r="D3" s="27" t="n">
        <v>0.2</v>
      </c>
      <c r="F3" s="14" t="s">
        <v>18</v>
      </c>
      <c r="G3" s="28" t="n">
        <f aca="false">SUMIF($B$2:$B$19,F3,$D$2:$D$19)</f>
        <v>1</v>
      </c>
    </row>
    <row r="4" customFormat="false" ht="15" hidden="false" customHeight="false" outlineLevel="0" collapsed="false">
      <c r="A4" s="14" t="str">
        <f aca="false">B4&amp;"|"&amp;C4</f>
        <v>Conservador|Shoppings</v>
      </c>
      <c r="B4" s="14" t="s">
        <v>44</v>
      </c>
      <c r="C4" s="14" t="s">
        <v>24</v>
      </c>
      <c r="D4" s="27" t="n">
        <v>0.1</v>
      </c>
      <c r="F4" s="14" t="s">
        <v>45</v>
      </c>
      <c r="G4" s="28" t="n">
        <f aca="false">SUMIF($B$2:$B$19,F4,$D$2:$D$19)</f>
        <v>1</v>
      </c>
    </row>
    <row r="5" customFormat="false" ht="15" hidden="false" customHeight="false" outlineLevel="0" collapsed="false">
      <c r="A5" s="14" t="str">
        <f aca="false">B5&amp;"|"&amp;C5</f>
        <v>Conservador|Lajes corporativas</v>
      </c>
      <c r="B5" s="14" t="s">
        <v>44</v>
      </c>
      <c r="C5" s="14" t="s">
        <v>25</v>
      </c>
      <c r="D5" s="27" t="n">
        <v>0.1</v>
      </c>
    </row>
    <row r="6" customFormat="false" ht="15" hidden="false" customHeight="false" outlineLevel="0" collapsed="false">
      <c r="A6" s="14" t="str">
        <f aca="false">B6&amp;"|"&amp;C6</f>
        <v>Conservador|Fundo de fundos</v>
      </c>
      <c r="B6" s="14" t="s">
        <v>44</v>
      </c>
      <c r="C6" s="14" t="s">
        <v>26</v>
      </c>
      <c r="D6" s="27" t="n">
        <v>0.15</v>
      </c>
      <c r="F6" s="29" t="s">
        <v>46</v>
      </c>
    </row>
    <row r="7" customFormat="false" ht="15" hidden="false" customHeight="false" outlineLevel="0" collapsed="false">
      <c r="A7" s="14" t="str">
        <f aca="false">B7&amp;"|"&amp;C7</f>
        <v>Conservador|Desenvolvimento</v>
      </c>
      <c r="B7" s="14" t="s">
        <v>44</v>
      </c>
      <c r="C7" s="14" t="s">
        <v>27</v>
      </c>
      <c r="D7" s="27" t="n">
        <v>0.05</v>
      </c>
      <c r="F7" s="3" t="s">
        <v>44</v>
      </c>
    </row>
    <row r="8" customFormat="false" ht="15" hidden="false" customHeight="false" outlineLevel="0" collapsed="false">
      <c r="A8" s="14" t="str">
        <f aca="false">B8&amp;"|"&amp;C8</f>
        <v>Moderado|Papel (CRI)</v>
      </c>
      <c r="B8" s="14" t="s">
        <v>18</v>
      </c>
      <c r="C8" s="14" t="s">
        <v>22</v>
      </c>
      <c r="D8" s="27" t="n">
        <v>0.25</v>
      </c>
      <c r="F8" s="3" t="s">
        <v>18</v>
      </c>
    </row>
    <row r="9" customFormat="false" ht="15" hidden="false" customHeight="false" outlineLevel="0" collapsed="false">
      <c r="A9" s="14" t="str">
        <f aca="false">B9&amp;"|"&amp;C9</f>
        <v>Moderado|Logística</v>
      </c>
      <c r="B9" s="14" t="s">
        <v>18</v>
      </c>
      <c r="C9" s="14" t="s">
        <v>23</v>
      </c>
      <c r="D9" s="27" t="n">
        <v>0.2</v>
      </c>
      <c r="F9" s="3" t="s">
        <v>45</v>
      </c>
    </row>
    <row r="10" customFormat="false" ht="15" hidden="false" customHeight="false" outlineLevel="0" collapsed="false">
      <c r="A10" s="14" t="str">
        <f aca="false">B10&amp;"|"&amp;C10</f>
        <v>Moderado|Shoppings</v>
      </c>
      <c r="B10" s="14" t="s">
        <v>18</v>
      </c>
      <c r="C10" s="14" t="s">
        <v>24</v>
      </c>
      <c r="D10" s="27" t="n">
        <v>0.2</v>
      </c>
    </row>
    <row r="11" customFormat="false" ht="15" hidden="false" customHeight="false" outlineLevel="0" collapsed="false">
      <c r="A11" s="14" t="str">
        <f aca="false">B11&amp;"|"&amp;C11</f>
        <v>Moderado|Lajes corporativas</v>
      </c>
      <c r="B11" s="14" t="s">
        <v>18</v>
      </c>
      <c r="C11" s="14" t="s">
        <v>25</v>
      </c>
      <c r="D11" s="27" t="n">
        <v>0.1</v>
      </c>
    </row>
    <row r="12" customFormat="false" ht="15" hidden="false" customHeight="false" outlineLevel="0" collapsed="false">
      <c r="A12" s="14" t="str">
        <f aca="false">B12&amp;"|"&amp;C12</f>
        <v>Moderado|Fundo de fundos</v>
      </c>
      <c r="B12" s="14" t="s">
        <v>18</v>
      </c>
      <c r="C12" s="14" t="s">
        <v>26</v>
      </c>
      <c r="D12" s="27" t="n">
        <v>0.15</v>
      </c>
    </row>
    <row r="13" customFormat="false" ht="15" hidden="false" customHeight="false" outlineLevel="0" collapsed="false">
      <c r="A13" s="14" t="str">
        <f aca="false">B13&amp;"|"&amp;C13</f>
        <v>Moderado|Desenvolvimento</v>
      </c>
      <c r="B13" s="14" t="s">
        <v>18</v>
      </c>
      <c r="C13" s="14" t="s">
        <v>27</v>
      </c>
      <c r="D13" s="27" t="n">
        <v>0.1</v>
      </c>
    </row>
    <row r="14" customFormat="false" ht="15" hidden="false" customHeight="false" outlineLevel="0" collapsed="false">
      <c r="A14" s="14" t="str">
        <f aca="false">B14&amp;"|"&amp;C14</f>
        <v>Arrojado|Papel (CRI)</v>
      </c>
      <c r="B14" s="14" t="s">
        <v>45</v>
      </c>
      <c r="C14" s="14" t="s">
        <v>22</v>
      </c>
      <c r="D14" s="27" t="n">
        <v>0.15</v>
      </c>
    </row>
    <row r="15" customFormat="false" ht="15" hidden="false" customHeight="false" outlineLevel="0" collapsed="false">
      <c r="A15" s="14" t="str">
        <f aca="false">B15&amp;"|"&amp;C15</f>
        <v>Arrojado|Logística</v>
      </c>
      <c r="B15" s="14" t="s">
        <v>45</v>
      </c>
      <c r="C15" s="14" t="s">
        <v>23</v>
      </c>
      <c r="D15" s="27" t="n">
        <v>0.2</v>
      </c>
    </row>
    <row r="16" customFormat="false" ht="15" hidden="false" customHeight="false" outlineLevel="0" collapsed="false">
      <c r="A16" s="14" t="str">
        <f aca="false">B16&amp;"|"&amp;C16</f>
        <v>Arrojado|Shoppings</v>
      </c>
      <c r="B16" s="14" t="s">
        <v>45</v>
      </c>
      <c r="C16" s="14" t="s">
        <v>24</v>
      </c>
      <c r="D16" s="27" t="n">
        <v>0.25</v>
      </c>
    </row>
    <row r="17" customFormat="false" ht="15" hidden="false" customHeight="false" outlineLevel="0" collapsed="false">
      <c r="A17" s="14" t="str">
        <f aca="false">B17&amp;"|"&amp;C17</f>
        <v>Arrojado|Lajes corporativas</v>
      </c>
      <c r="B17" s="14" t="s">
        <v>45</v>
      </c>
      <c r="C17" s="14" t="s">
        <v>25</v>
      </c>
      <c r="D17" s="27" t="n">
        <v>0.15</v>
      </c>
    </row>
    <row r="18" customFormat="false" ht="15" hidden="false" customHeight="false" outlineLevel="0" collapsed="false">
      <c r="A18" s="14" t="str">
        <f aca="false">B18&amp;"|"&amp;C18</f>
        <v>Arrojado|Fundo de fundos</v>
      </c>
      <c r="B18" s="14" t="s">
        <v>45</v>
      </c>
      <c r="C18" s="14" t="s">
        <v>26</v>
      </c>
      <c r="D18" s="27" t="n">
        <v>0.1</v>
      </c>
    </row>
    <row r="19" customFormat="false" ht="15" hidden="false" customHeight="false" outlineLevel="0" collapsed="false">
      <c r="A19" s="14" t="str">
        <f aca="false">B19&amp;"|"&amp;C19</f>
        <v>Arrojado|Desenvolvimento</v>
      </c>
      <c r="B19" s="14" t="s">
        <v>45</v>
      </c>
      <c r="C19" s="14" t="s">
        <v>27</v>
      </c>
      <c r="D19" s="27" t="n">
        <v>0.15</v>
      </c>
    </row>
    <row r="21" customFormat="false" ht="15" hidden="false" customHeight="false" outlineLevel="0" collapsed="false">
      <c r="A21" s="2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2026-10-13T15:18:17Z</dcterms:created>
  <dc:creator>openpyxl</dc:creator>
  <dc:description/>
  <dc:language>en-US</dc:language>
  <cp:lastModifiedBy/>
  <dcterms:modified xsi:type="dcterms:W3CDTF">2026-10-13T12:18:19Z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